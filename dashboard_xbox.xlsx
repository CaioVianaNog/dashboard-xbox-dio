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" sheetId="2" state="visible" r:id="rId4"/>
    <sheet name="Resumo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<sst xmlns="http://schemas.openxmlformats.org/spreadsheetml/2006/main" count="159" uniqueCount="58">
  <si>
    <t xml:space="preserve">🎮   XBOX SUBSCRIPTIONS  —  SALES DASHBOARD  2024</t>
  </si>
  <si>
    <t xml:space="preserve">RECEITA TOTAL</t>
  </si>
  <si>
    <t xml:space="preserve">TOTAL DE VENDAS</t>
  </si>
  <si>
    <t xml:space="preserve">TICKET MÉDIO</t>
  </si>
  <si>
    <t xml:space="preserve">TAXA DE RENOVAÇÃO</t>
  </si>
  <si>
    <t xml:space="preserve">R$</t>
  </si>
  <si>
    <t xml:space="preserve">un</t>
  </si>
  <si>
    <t xml:space="preserve">%</t>
  </si>
  <si>
    <t xml:space="preserve">Fonte: Base de Vendas Xbox Subscriptions 2024  |  Digital Innovation One  |  Santander Dev Week</t>
  </si>
  <si>
    <t xml:space="preserve">ID</t>
  </si>
  <si>
    <t xml:space="preserve">Data</t>
  </si>
  <si>
    <t xml:space="preserve">Produto</t>
  </si>
  <si>
    <t xml:space="preserve">Plano</t>
  </si>
  <si>
    <t xml:space="preserve">Duração</t>
  </si>
  <si>
    <t xml:space="preserve">País</t>
  </si>
  <si>
    <t xml:space="preserve">Valor (R$)</t>
  </si>
  <si>
    <t xml:space="preserve">Renovação</t>
  </si>
  <si>
    <t xml:space="preserve">05/01/2024</t>
  </si>
  <si>
    <t xml:space="preserve">Xbox Game Pass</t>
  </si>
  <si>
    <t xml:space="preserve">Ultimate</t>
  </si>
  <si>
    <t xml:space="preserve">Anual</t>
  </si>
  <si>
    <t xml:space="preserve">Brasil</t>
  </si>
  <si>
    <t xml:space="preserve">Sim</t>
  </si>
  <si>
    <t xml:space="preserve">08/01/2024</t>
  </si>
  <si>
    <t xml:space="preserve">Core</t>
  </si>
  <si>
    <t xml:space="preserve">Mensal</t>
  </si>
  <si>
    <t xml:space="preserve">Não</t>
  </si>
  <si>
    <t xml:space="preserve">10/01/2024</t>
  </si>
  <si>
    <t xml:space="preserve">EUA</t>
  </si>
  <si>
    <t xml:space="preserve">15/01/2024</t>
  </si>
  <si>
    <t xml:space="preserve">EA Play</t>
  </si>
  <si>
    <t xml:space="preserve">Padrão</t>
  </si>
  <si>
    <t xml:space="preserve">18/01/2024</t>
  </si>
  <si>
    <t xml:space="preserve">PC</t>
  </si>
  <si>
    <t xml:space="preserve">02/02/2024</t>
  </si>
  <si>
    <t xml:space="preserve">México</t>
  </si>
  <si>
    <t xml:space="preserve">07/02/2024</t>
  </si>
  <si>
    <t xml:space="preserve">14/02/2024</t>
  </si>
  <si>
    <t xml:space="preserve">20/02/2024</t>
  </si>
  <si>
    <t xml:space="preserve">25/02/2024</t>
  </si>
  <si>
    <t xml:space="preserve">01/03/2024</t>
  </si>
  <si>
    <t xml:space="preserve">Pro</t>
  </si>
  <si>
    <t xml:space="preserve">05/03/2024</t>
  </si>
  <si>
    <t xml:space="preserve">12/03/2024</t>
  </si>
  <si>
    <t xml:space="preserve">18/03/2024</t>
  </si>
  <si>
    <t xml:space="preserve">22/03/2024</t>
  </si>
  <si>
    <t xml:space="preserve">03/04/2024</t>
  </si>
  <si>
    <t xml:space="preserve">09/04/2024</t>
  </si>
  <si>
    <t xml:space="preserve">15/04/2024</t>
  </si>
  <si>
    <t xml:space="preserve">20/04/2024</t>
  </si>
  <si>
    <t xml:space="preserve">28/04/2024</t>
  </si>
  <si>
    <t xml:space="preserve">Receita (R$)</t>
  </si>
  <si>
    <t xml:space="preserve">Qtd</t>
  </si>
  <si>
    <t xml:space="preserve">Mês</t>
  </si>
  <si>
    <t xml:space="preserve">Jan</t>
  </si>
  <si>
    <t xml:space="preserve">Fev</t>
  </si>
  <si>
    <t xml:space="preserve">Mar</t>
  </si>
  <si>
    <t xml:space="preserve">Abr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</si>
</sst>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B0B8C1"/>
      <name val="Arial"/>
      <family val="0"/>
      <charset val="1"/>
    </font>
    <font>
      <b val="true"/>
      <sz val="22"/>
      <color rgb="FF107C10"/>
      <name val="Arial"/>
      <family val="0"/>
      <charset val="1"/>
    </font>
    <font>
      <b val="true"/>
      <sz val="22"/>
      <color rgb="FF0078D4"/>
      <name val="Arial"/>
      <family val="0"/>
      <charset val="1"/>
    </font>
    <font>
      <b val="true"/>
      <sz val="22"/>
      <color rgb="FF8B1A1A"/>
      <name val="Arial"/>
      <family val="0"/>
      <charset val="1"/>
    </font>
    <font>
      <b val="true"/>
      <sz val="22"/>
      <color rgb="FF5C4A1E"/>
      <name val="Arial"/>
      <family val="0"/>
      <charset val="1"/>
    </font>
    <font>
      <sz val="8"/>
      <color rgb="FF666666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107C10"/>
        <bgColor rgb="FF008080"/>
      </patternFill>
    </fill>
    <fill>
      <patternFill patternType="solid">
        <fgColor rgb="FF0F3460"/>
        <bgColor rgb="FF1A1A2E"/>
      </patternFill>
    </fill>
    <fill>
      <patternFill patternType="solid">
        <fgColor rgb="FFF2F9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0B8C1"/>
      <rgbColor rgb="FF878787"/>
      <rgbColor rgb="FF9999FF"/>
      <rgbColor rgb="FFC0504D"/>
      <rgbColor rgb="FFF2F9F2"/>
      <rgbColor rgb="FFCCFFFF"/>
      <rgbColor rgb="FF660066"/>
      <rgbColor rgb="FFFF8080"/>
      <rgbColor rgb="FF0078D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F3460"/>
      <rgbColor rgb="FF339966"/>
      <rgbColor rgb="FF003300"/>
      <rgbColor rgb="FF5C4A1E"/>
      <rgbColor rgb="FF8B1A1A"/>
      <rgbColor rgb="FF993366"/>
      <rgbColor rgb="FF555555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Resumo!B6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107c10"/>
            </a:solidFill>
            <a:ln w="0">
              <a:solidFill>
                <a:srgbClr val="107c1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Resumo!$A$7:$A$10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Resumo!$B$7:$B$10</c:f>
              <c:numCache>
                <c:formatCode>General</c:formatCode>
                <c:ptCount val="4"/>
                <c:pt idx="0">
                  <c:v>299.9</c:v>
                </c:pt>
                <c:pt idx="1">
                  <c:v>599.9</c:v>
                </c:pt>
                <c:pt idx="2">
                  <c:v>479.9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5465016"/>
        <c:axId val="5957127"/>
      </c:barChart>
      <c:catAx>
        <c:axId val="45465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7127"/>
        <c:crosses val="autoZero"/>
        <c:auto val="1"/>
        <c:lblAlgn val="ctr"/>
        <c:lblOffset val="100"/>
        <c:noMultiLvlLbl val="0"/>
      </c:catAx>
      <c:valAx>
        <c:axId val="5957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65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Produto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Resumo!B1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Resumo!$A$2:$A$3</c:f>
              <c:strCache>
                <c:ptCount val="2"/>
                <c:pt idx="0">
                  <c:v>Xbox Game Pass</c:v>
                </c:pt>
                <c:pt idx="1">
                  <c:v>EA Play</c:v>
                </c:pt>
              </c:strCache>
            </c:strRef>
          </c:cat>
          <c:val>
            <c:numRef>
              <c:f>Resumo!$B$2:$B$3</c:f>
              <c:numCache>
                <c:formatCode>General</c:formatCode>
                <c:ptCount val="2"/>
                <c:pt idx="0">
                  <c:v>2263.86</c:v>
                </c:pt>
                <c:pt idx="1">
                  <c:v>704.59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Plano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Resumo!E1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0078d4"/>
            </a:solidFill>
            <a:ln w="0">
              <a:solidFill>
                <a:srgbClr val="0078d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Resumo!$D$2:$D$6</c:f>
              <c:strCache>
                <c:ptCount val="5"/>
                <c:pt idx="0">
                  <c:v>Ultimate</c:v>
                </c:pt>
                <c:pt idx="1">
                  <c:v>Core</c:v>
                </c:pt>
                <c:pt idx="2">
                  <c:v>PC</c:v>
                </c:pt>
                <c:pt idx="3">
                  <c:v>Padrão</c:v>
                </c:pt>
                <c:pt idx="4">
                  <c:v>Pro</c:v>
                </c:pt>
              </c:strCache>
            </c:strRef>
          </c:cat>
          <c:val>
            <c:numRef>
              <c:f>Resumo!$E$2:$E$6</c:f>
              <c:numCache>
                <c:formatCode>General</c:formatCode>
                <c:ptCount val="5"/>
                <c:pt idx="0">
                  <c:v>1679.48</c:v>
                </c:pt>
                <c:pt idx="1">
                  <c:v>214.69</c:v>
                </c:pt>
                <c:pt idx="2">
                  <c:v>369.69</c:v>
                </c:pt>
                <c:pt idx="3">
                  <c:v>364.79</c:v>
                </c:pt>
                <c:pt idx="4">
                  <c:v>339.8</c:v>
                </c:pt>
              </c:numCache>
            </c:numRef>
          </c:val>
        </c:ser>
        <c:gapWidth val="150"/>
        <c:overlap val="0"/>
        <c:axId val="12234226"/>
        <c:axId val="63399683"/>
      </c:barChart>
      <c:catAx>
        <c:axId val="12234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99683"/>
        <c:crosses val="autoZero"/>
        <c:auto val="1"/>
        <c:lblAlgn val="ctr"/>
        <c:lblOffset val="100"/>
        <c:noMultiLvlLbl val="0"/>
      </c:catAx>
      <c:valAx>
        <c:axId val="63399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34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Taxa de Renovação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Resumo!H1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Resumo!$G$2:$G$3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Resumo!$H$2:$H$3</c:f>
              <c:numCache>
                <c:formatCode>General</c:formatCode>
                <c:ptCount val="2"/>
                <c:pt idx="0">
                  <c:v>14</c:v>
                </c:pt>
                <c:pt idx="1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9</xdr:col>
      <xdr:colOff>244440</xdr:colOff>
      <xdr:row>28</xdr:row>
      <xdr:rowOff>170640</xdr:rowOff>
    </xdr:to>
    <xdr:graphicFrame>
      <xdr:nvGraphicFramePr>
        <xdr:cNvPr id="0" name="Chart 1"/>
        <xdr:cNvGraphicFramePr/>
      </xdr:nvGraphicFramePr>
      <xdr:xfrm>
        <a:off x="106200" y="24289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123840</xdr:colOff>
      <xdr:row>28</xdr:row>
      <xdr:rowOff>170640</xdr:rowOff>
    </xdr:to>
    <xdr:graphicFrame>
      <xdr:nvGraphicFramePr>
        <xdr:cNvPr id="1" name="Chart 2"/>
        <xdr:cNvGraphicFramePr/>
      </xdr:nvGraphicFramePr>
      <xdr:xfrm>
        <a:off x="5501160" y="242892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244440</xdr:colOff>
      <xdr:row>50</xdr:row>
      <xdr:rowOff>170640</xdr:rowOff>
    </xdr:to>
    <xdr:graphicFrame>
      <xdr:nvGraphicFramePr>
        <xdr:cNvPr id="2" name="Chart 3"/>
        <xdr:cNvGraphicFramePr/>
      </xdr:nvGraphicFramePr>
      <xdr:xfrm>
        <a:off x="106200" y="6620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17</xdr:col>
      <xdr:colOff>123840</xdr:colOff>
      <xdr:row>50</xdr:row>
      <xdr:rowOff>170640</xdr:rowOff>
    </xdr:to>
    <xdr:graphicFrame>
      <xdr:nvGraphicFramePr>
        <xdr:cNvPr id="3" name="Chart 4"/>
        <xdr:cNvGraphicFramePr/>
      </xdr:nvGraphicFramePr>
      <xdr:xfrm>
        <a:off x="5501160" y="66200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1" min="2" style="0" width="8.5"/>
    <col collapsed="false" customWidth="true" hidden="false" outlineLevel="0" max="22" min="22" style="0" width="1.51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49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customFormat="false" ht="12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.75" hidden="false" customHeight="true" outlineLevel="0" collapsed="false">
      <c r="A4" s="1"/>
      <c r="B4" s="3" t="s">
        <v>1</v>
      </c>
      <c r="C4" s="3"/>
      <c r="D4" s="3"/>
      <c r="E4" s="3"/>
      <c r="F4" s="3"/>
      <c r="G4" s="3" t="s">
        <v>2</v>
      </c>
      <c r="H4" s="3"/>
      <c r="I4" s="3"/>
      <c r="J4" s="3"/>
      <c r="K4" s="3"/>
      <c r="L4" s="3" t="s">
        <v>3</v>
      </c>
      <c r="M4" s="3"/>
      <c r="N4" s="3"/>
      <c r="O4" s="3"/>
      <c r="P4" s="3"/>
      <c r="Q4" s="3" t="s">
        <v>4</v>
      </c>
      <c r="R4" s="3"/>
      <c r="S4" s="3"/>
      <c r="T4" s="3"/>
      <c r="U4" s="3"/>
      <c r="V4" s="1"/>
    </row>
    <row r="5" customFormat="false" ht="15.75" hidden="false" customHeight="true" outlineLevel="0" collapsed="false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"/>
    </row>
    <row r="6" customFormat="false" ht="27.75" hidden="false" customHeight="true" outlineLevel="0" collapsed="false">
      <c r="A6" s="1"/>
      <c r="B6" s="4" t="n">
        <f aca="false">SUM(Base!G:G)</f>
        <v>2968.45</v>
      </c>
      <c r="C6" s="4"/>
      <c r="D6" s="4"/>
      <c r="E6" s="4"/>
      <c r="F6" s="4"/>
      <c r="G6" s="5" t="n">
        <f aca="false">COUNTA(Base!A2:A21)</f>
        <v>20</v>
      </c>
      <c r="H6" s="5"/>
      <c r="I6" s="5"/>
      <c r="J6" s="5"/>
      <c r="K6" s="5"/>
      <c r="L6" s="6" t="n">
        <f aca="false">AVERAGE(Base!G2:G21)</f>
        <v>148.4225</v>
      </c>
      <c r="M6" s="6"/>
      <c r="N6" s="6"/>
      <c r="O6" s="6"/>
      <c r="P6" s="6"/>
      <c r="Q6" s="7" t="n">
        <f aca="false">COUNTIF(Base!H:H,"Sim")/COUNTA(Base!H2:H21)</f>
        <v>0.7</v>
      </c>
      <c r="R6" s="7"/>
      <c r="S6" s="7"/>
      <c r="T6" s="7"/>
      <c r="U6" s="7"/>
      <c r="V6" s="1"/>
    </row>
    <row r="7" customFormat="false" ht="21.75" hidden="false" customHeight="true" outlineLevel="0" collapsed="false">
      <c r="A7" s="1"/>
      <c r="B7" s="4"/>
      <c r="C7" s="4"/>
      <c r="D7" s="4"/>
      <c r="E7" s="4"/>
      <c r="F7" s="4"/>
      <c r="G7" s="5"/>
      <c r="H7" s="5"/>
      <c r="I7" s="5"/>
      <c r="J7" s="5"/>
      <c r="K7" s="5"/>
      <c r="L7" s="6"/>
      <c r="M7" s="6"/>
      <c r="N7" s="6"/>
      <c r="O7" s="6"/>
      <c r="P7" s="6"/>
      <c r="Q7" s="7"/>
      <c r="R7" s="7"/>
      <c r="S7" s="7"/>
      <c r="T7" s="7"/>
      <c r="U7" s="7"/>
      <c r="V7" s="1"/>
    </row>
    <row r="8" customFormat="false" ht="15.75" hidden="false" customHeight="true" outlineLevel="0" collapsed="false">
      <c r="A8" s="1"/>
      <c r="B8" s="8" t="s">
        <v>5</v>
      </c>
      <c r="C8" s="8"/>
      <c r="D8" s="8"/>
      <c r="E8" s="8"/>
      <c r="F8" s="8"/>
      <c r="G8" s="8" t="s">
        <v>6</v>
      </c>
      <c r="H8" s="8"/>
      <c r="I8" s="8"/>
      <c r="J8" s="8"/>
      <c r="K8" s="8"/>
      <c r="L8" s="8" t="s">
        <v>5</v>
      </c>
      <c r="M8" s="8"/>
      <c r="N8" s="8"/>
      <c r="O8" s="8"/>
      <c r="P8" s="8"/>
      <c r="Q8" s="8" t="s">
        <v>7</v>
      </c>
      <c r="R8" s="8"/>
      <c r="S8" s="8"/>
      <c r="T8" s="8"/>
      <c r="U8" s="8"/>
      <c r="V8" s="1"/>
    </row>
    <row r="9" customFormat="false" ht="12" hidden="false" customHeight="true" outlineLevel="0" collapsed="false">
      <c r="A9" s="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true" outlineLevel="0" collapsed="false">
      <c r="A55" s="1"/>
      <c r="B55" s="10" t="s">
        <v>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</sheetData>
  <mergeCells count="14">
    <mergeCell ref="B2:U2"/>
    <mergeCell ref="B4:F5"/>
    <mergeCell ref="G4:K5"/>
    <mergeCell ref="L4:P5"/>
    <mergeCell ref="Q4:U5"/>
    <mergeCell ref="B6:F7"/>
    <mergeCell ref="G6:K7"/>
    <mergeCell ref="L6:P7"/>
    <mergeCell ref="Q6:U7"/>
    <mergeCell ref="B8:F8"/>
    <mergeCell ref="G8:K8"/>
    <mergeCell ref="L8:P8"/>
    <mergeCell ref="Q8:U8"/>
    <mergeCell ref="B55:U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</row>
    <row r="2" customFormat="false" ht="18" hidden="false" customHeight="true" outlineLevel="0" collapsed="false">
      <c r="A2" s="12" t="n">
        <v>1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3" t="n">
        <v>479.9</v>
      </c>
      <c r="H2" s="12" t="s">
        <v>22</v>
      </c>
    </row>
    <row r="3" customFormat="false" ht="18" hidden="false" customHeight="true" outlineLevel="0" collapsed="false">
      <c r="A3" s="14" t="n">
        <v>2</v>
      </c>
      <c r="B3" s="14" t="s">
        <v>23</v>
      </c>
      <c r="C3" s="14" t="s">
        <v>18</v>
      </c>
      <c r="D3" s="14" t="s">
        <v>24</v>
      </c>
      <c r="E3" s="14" t="s">
        <v>25</v>
      </c>
      <c r="F3" s="14" t="s">
        <v>21</v>
      </c>
      <c r="G3" s="15" t="n">
        <v>24.9</v>
      </c>
      <c r="H3" s="14" t="s">
        <v>26</v>
      </c>
    </row>
    <row r="4" customFormat="false" ht="18" hidden="false" customHeight="true" outlineLevel="0" collapsed="false">
      <c r="A4" s="12" t="n">
        <v>3</v>
      </c>
      <c r="B4" s="12" t="s">
        <v>27</v>
      </c>
      <c r="C4" s="12" t="s">
        <v>18</v>
      </c>
      <c r="D4" s="12" t="s">
        <v>19</v>
      </c>
      <c r="E4" s="12" t="s">
        <v>25</v>
      </c>
      <c r="F4" s="12" t="s">
        <v>28</v>
      </c>
      <c r="G4" s="13" t="n">
        <v>14.99</v>
      </c>
      <c r="H4" s="12" t="s">
        <v>22</v>
      </c>
    </row>
    <row r="5" customFormat="false" ht="18" hidden="false" customHeight="true" outlineLevel="0" collapsed="false">
      <c r="A5" s="14" t="n">
        <v>4</v>
      </c>
      <c r="B5" s="14" t="s">
        <v>29</v>
      </c>
      <c r="C5" s="14" t="s">
        <v>30</v>
      </c>
      <c r="D5" s="14" t="s">
        <v>31</v>
      </c>
      <c r="E5" s="14" t="s">
        <v>20</v>
      </c>
      <c r="F5" s="14" t="s">
        <v>21</v>
      </c>
      <c r="G5" s="15" t="n">
        <v>179.9</v>
      </c>
      <c r="H5" s="14" t="s">
        <v>22</v>
      </c>
    </row>
    <row r="6" customFormat="false" ht="18" hidden="false" customHeight="true" outlineLevel="0" collapsed="false">
      <c r="A6" s="12" t="n">
        <v>5</v>
      </c>
      <c r="B6" s="12" t="s">
        <v>32</v>
      </c>
      <c r="C6" s="12" t="s">
        <v>18</v>
      </c>
      <c r="D6" s="12" t="s">
        <v>33</v>
      </c>
      <c r="E6" s="12" t="s">
        <v>25</v>
      </c>
      <c r="F6" s="12" t="s">
        <v>21</v>
      </c>
      <c r="G6" s="13" t="n">
        <v>29.9</v>
      </c>
      <c r="H6" s="12" t="s">
        <v>26</v>
      </c>
    </row>
    <row r="7" customFormat="false" ht="18" hidden="false" customHeight="true" outlineLevel="0" collapsed="false">
      <c r="A7" s="14" t="n">
        <v>6</v>
      </c>
      <c r="B7" s="14" t="s">
        <v>34</v>
      </c>
      <c r="C7" s="14" t="s">
        <v>18</v>
      </c>
      <c r="D7" s="14" t="s">
        <v>19</v>
      </c>
      <c r="E7" s="14" t="s">
        <v>20</v>
      </c>
      <c r="F7" s="14" t="s">
        <v>35</v>
      </c>
      <c r="G7" s="15" t="n">
        <v>599.9</v>
      </c>
      <c r="H7" s="14" t="s">
        <v>22</v>
      </c>
    </row>
    <row r="8" customFormat="false" ht="18" hidden="false" customHeight="true" outlineLevel="0" collapsed="false">
      <c r="A8" s="12" t="n">
        <v>7</v>
      </c>
      <c r="B8" s="12" t="s">
        <v>36</v>
      </c>
      <c r="C8" s="12" t="s">
        <v>30</v>
      </c>
      <c r="D8" s="12" t="s">
        <v>31</v>
      </c>
      <c r="E8" s="12" t="s">
        <v>25</v>
      </c>
      <c r="F8" s="12" t="s">
        <v>28</v>
      </c>
      <c r="G8" s="13" t="n">
        <v>4.99</v>
      </c>
      <c r="H8" s="12" t="s">
        <v>22</v>
      </c>
    </row>
    <row r="9" customFormat="false" ht="18" hidden="false" customHeight="true" outlineLevel="0" collapsed="false">
      <c r="A9" s="14" t="n">
        <v>8</v>
      </c>
      <c r="B9" s="14" t="s">
        <v>37</v>
      </c>
      <c r="C9" s="14" t="s">
        <v>18</v>
      </c>
      <c r="D9" s="14" t="s">
        <v>24</v>
      </c>
      <c r="E9" s="14" t="s">
        <v>20</v>
      </c>
      <c r="F9" s="14" t="s">
        <v>21</v>
      </c>
      <c r="G9" s="15" t="n">
        <v>149.9</v>
      </c>
      <c r="H9" s="14" t="s">
        <v>26</v>
      </c>
    </row>
    <row r="10" customFormat="false" ht="18" hidden="false" customHeight="true" outlineLevel="0" collapsed="false">
      <c r="A10" s="12" t="n">
        <v>9</v>
      </c>
      <c r="B10" s="12" t="s">
        <v>38</v>
      </c>
      <c r="C10" s="12" t="s">
        <v>18</v>
      </c>
      <c r="D10" s="12" t="s">
        <v>19</v>
      </c>
      <c r="E10" s="12" t="s">
        <v>25</v>
      </c>
      <c r="F10" s="12" t="s">
        <v>21</v>
      </c>
      <c r="G10" s="13" t="n">
        <v>44.9</v>
      </c>
      <c r="H10" s="12" t="s">
        <v>22</v>
      </c>
    </row>
    <row r="11" customFormat="false" ht="18" hidden="false" customHeight="true" outlineLevel="0" collapsed="false">
      <c r="A11" s="14" t="n">
        <v>10</v>
      </c>
      <c r="B11" s="14" t="s">
        <v>39</v>
      </c>
      <c r="C11" s="14" t="s">
        <v>18</v>
      </c>
      <c r="D11" s="14" t="s">
        <v>33</v>
      </c>
      <c r="E11" s="14" t="s">
        <v>20</v>
      </c>
      <c r="F11" s="14" t="s">
        <v>28</v>
      </c>
      <c r="G11" s="15" t="n">
        <v>69.99</v>
      </c>
      <c r="H11" s="14" t="s">
        <v>22</v>
      </c>
    </row>
    <row r="12" customFormat="false" ht="18" hidden="false" customHeight="true" outlineLevel="0" collapsed="false">
      <c r="A12" s="12" t="n">
        <v>11</v>
      </c>
      <c r="B12" s="12" t="s">
        <v>40</v>
      </c>
      <c r="C12" s="12" t="s">
        <v>30</v>
      </c>
      <c r="D12" s="12" t="s">
        <v>41</v>
      </c>
      <c r="E12" s="12" t="s">
        <v>20</v>
      </c>
      <c r="F12" s="12" t="s">
        <v>21</v>
      </c>
      <c r="G12" s="13" t="n">
        <v>299.9</v>
      </c>
      <c r="H12" s="12" t="s">
        <v>22</v>
      </c>
    </row>
    <row r="13" customFormat="false" ht="18" hidden="false" customHeight="true" outlineLevel="0" collapsed="false">
      <c r="A13" s="14" t="n">
        <v>12</v>
      </c>
      <c r="B13" s="14" t="s">
        <v>42</v>
      </c>
      <c r="C13" s="14" t="s">
        <v>18</v>
      </c>
      <c r="D13" s="14" t="s">
        <v>19</v>
      </c>
      <c r="E13" s="14" t="s">
        <v>25</v>
      </c>
      <c r="F13" s="14" t="s">
        <v>28</v>
      </c>
      <c r="G13" s="15" t="n">
        <v>14.99</v>
      </c>
      <c r="H13" s="14" t="s">
        <v>26</v>
      </c>
    </row>
    <row r="14" customFormat="false" ht="18" hidden="false" customHeight="true" outlineLevel="0" collapsed="false">
      <c r="A14" s="12" t="n">
        <v>13</v>
      </c>
      <c r="B14" s="12" t="s">
        <v>43</v>
      </c>
      <c r="C14" s="12" t="s">
        <v>18</v>
      </c>
      <c r="D14" s="12" t="s">
        <v>24</v>
      </c>
      <c r="E14" s="12" t="s">
        <v>25</v>
      </c>
      <c r="F14" s="12" t="s">
        <v>21</v>
      </c>
      <c r="G14" s="13" t="n">
        <v>24.9</v>
      </c>
      <c r="H14" s="12" t="s">
        <v>22</v>
      </c>
    </row>
    <row r="15" customFormat="false" ht="18" hidden="false" customHeight="true" outlineLevel="0" collapsed="false">
      <c r="A15" s="14" t="n">
        <v>14</v>
      </c>
      <c r="B15" s="14" t="s">
        <v>44</v>
      </c>
      <c r="C15" s="14" t="s">
        <v>18</v>
      </c>
      <c r="D15" s="14" t="s">
        <v>33</v>
      </c>
      <c r="E15" s="14" t="s">
        <v>25</v>
      </c>
      <c r="F15" s="14" t="s">
        <v>35</v>
      </c>
      <c r="G15" s="15" t="n">
        <v>29.9</v>
      </c>
      <c r="H15" s="14" t="s">
        <v>22</v>
      </c>
    </row>
    <row r="16" customFormat="false" ht="18" hidden="false" customHeight="true" outlineLevel="0" collapsed="false">
      <c r="A16" s="12" t="n">
        <v>15</v>
      </c>
      <c r="B16" s="12" t="s">
        <v>45</v>
      </c>
      <c r="C16" s="12" t="s">
        <v>30</v>
      </c>
      <c r="D16" s="12" t="s">
        <v>31</v>
      </c>
      <c r="E16" s="12" t="s">
        <v>20</v>
      </c>
      <c r="F16" s="12" t="s">
        <v>21</v>
      </c>
      <c r="G16" s="13" t="n">
        <v>179.9</v>
      </c>
      <c r="H16" s="12" t="s">
        <v>26</v>
      </c>
    </row>
    <row r="17" customFormat="false" ht="18" hidden="false" customHeight="true" outlineLevel="0" collapsed="false">
      <c r="A17" s="14" t="n">
        <v>16</v>
      </c>
      <c r="B17" s="14" t="s">
        <v>46</v>
      </c>
      <c r="C17" s="14" t="s">
        <v>18</v>
      </c>
      <c r="D17" s="14" t="s">
        <v>19</v>
      </c>
      <c r="E17" s="14" t="s">
        <v>20</v>
      </c>
      <c r="F17" s="14" t="s">
        <v>21</v>
      </c>
      <c r="G17" s="15" t="n">
        <v>479.9</v>
      </c>
      <c r="H17" s="14" t="s">
        <v>22</v>
      </c>
    </row>
    <row r="18" customFormat="false" ht="18" hidden="false" customHeight="true" outlineLevel="0" collapsed="false">
      <c r="A18" s="12" t="n">
        <v>17</v>
      </c>
      <c r="B18" s="12" t="s">
        <v>47</v>
      </c>
      <c r="C18" s="12" t="s">
        <v>18</v>
      </c>
      <c r="D18" s="12" t="s">
        <v>24</v>
      </c>
      <c r="E18" s="12" t="s">
        <v>25</v>
      </c>
      <c r="F18" s="12" t="s">
        <v>28</v>
      </c>
      <c r="G18" s="13" t="n">
        <v>14.99</v>
      </c>
      <c r="H18" s="12" t="s">
        <v>22</v>
      </c>
    </row>
    <row r="19" customFormat="false" ht="18" hidden="false" customHeight="true" outlineLevel="0" collapsed="false">
      <c r="A19" s="14" t="n">
        <v>18</v>
      </c>
      <c r="B19" s="14" t="s">
        <v>48</v>
      </c>
      <c r="C19" s="14" t="s">
        <v>30</v>
      </c>
      <c r="D19" s="14" t="s">
        <v>41</v>
      </c>
      <c r="E19" s="14" t="s">
        <v>25</v>
      </c>
      <c r="F19" s="14" t="s">
        <v>21</v>
      </c>
      <c r="G19" s="15" t="n">
        <v>39.9</v>
      </c>
      <c r="H19" s="14" t="s">
        <v>22</v>
      </c>
    </row>
    <row r="20" customFormat="false" ht="18" hidden="false" customHeight="true" outlineLevel="0" collapsed="false">
      <c r="A20" s="12" t="n">
        <v>19</v>
      </c>
      <c r="B20" s="12" t="s">
        <v>49</v>
      </c>
      <c r="C20" s="12" t="s">
        <v>18</v>
      </c>
      <c r="D20" s="12" t="s">
        <v>33</v>
      </c>
      <c r="E20" s="12" t="s">
        <v>20</v>
      </c>
      <c r="F20" s="12" t="s">
        <v>21</v>
      </c>
      <c r="G20" s="13" t="n">
        <v>239.9</v>
      </c>
      <c r="H20" s="12" t="s">
        <v>26</v>
      </c>
    </row>
    <row r="21" customFormat="false" ht="18" hidden="false" customHeight="true" outlineLevel="0" collapsed="false">
      <c r="A21" s="14" t="n">
        <v>20</v>
      </c>
      <c r="B21" s="14" t="s">
        <v>50</v>
      </c>
      <c r="C21" s="14" t="s">
        <v>18</v>
      </c>
      <c r="D21" s="14" t="s">
        <v>19</v>
      </c>
      <c r="E21" s="14" t="s">
        <v>25</v>
      </c>
      <c r="F21" s="14" t="s">
        <v>35</v>
      </c>
      <c r="G21" s="15" t="n">
        <v>44.9</v>
      </c>
      <c r="H21" s="1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51</v>
      </c>
      <c r="D1" s="0" t="s">
        <v>12</v>
      </c>
      <c r="E1" s="0" t="s">
        <v>51</v>
      </c>
      <c r="G1" s="0" t="s">
        <v>16</v>
      </c>
      <c r="H1" s="0" t="s">
        <v>52</v>
      </c>
    </row>
    <row r="2" customFormat="false" ht="15" hidden="false" customHeight="false" outlineLevel="0" collapsed="false">
      <c r="A2" s="0" t="s">
        <v>18</v>
      </c>
      <c r="B2" s="0" t="n">
        <f aca="false">SUMIF(Base!C:C,"Xbox Game Pass",Base!G:G)</f>
        <v>2263.86</v>
      </c>
      <c r="D2" s="0" t="s">
        <v>19</v>
      </c>
      <c r="E2" s="0" t="n">
        <f aca="false">SUMIF(Base!D:D,"Ultimate",Base!G:G)</f>
        <v>1679.48</v>
      </c>
      <c r="G2" s="0" t="s">
        <v>22</v>
      </c>
      <c r="H2" s="0" t="n">
        <f aca="false">COUNTIF(Base!H:H,"Sim")</f>
        <v>14</v>
      </c>
    </row>
    <row r="3" customFormat="false" ht="15" hidden="false" customHeight="false" outlineLevel="0" collapsed="false">
      <c r="A3" s="0" t="s">
        <v>30</v>
      </c>
      <c r="B3" s="0" t="n">
        <f aca="false">SUMIF(Base!C:C,"EA Play",Base!G:G)</f>
        <v>704.59</v>
      </c>
      <c r="D3" s="0" t="s">
        <v>24</v>
      </c>
      <c r="E3" s="0" t="n">
        <f aca="false">SUMIF(Base!D:D,"Core",Base!G:G)</f>
        <v>214.69</v>
      </c>
      <c r="G3" s="0" t="s">
        <v>26</v>
      </c>
      <c r="H3" s="0" t="n">
        <f aca="false">COUNTIF(Base!H:H,"Não")</f>
        <v>6</v>
      </c>
    </row>
    <row r="4" customFormat="false" ht="15" hidden="false" customHeight="false" outlineLevel="0" collapsed="false">
      <c r="D4" s="0" t="s">
        <v>33</v>
      </c>
      <c r="E4" s="0" t="n">
        <f aca="false">SUMIF(Base!D:D,"PC",Base!G:G)</f>
        <v>369.69</v>
      </c>
    </row>
    <row r="5" customFormat="false" ht="15" hidden="false" customHeight="false" outlineLevel="0" collapsed="false">
      <c r="D5" s="0" t="s">
        <v>31</v>
      </c>
      <c r="E5" s="0" t="n">
        <f aca="false">SUMIF(Base!D:D,"Padrão",Base!G:G)</f>
        <v>364.79</v>
      </c>
    </row>
    <row r="6" customFormat="false" ht="15" hidden="false" customHeight="false" outlineLevel="0" collapsed="false">
      <c r="A6" s="0" t="s">
        <v>53</v>
      </c>
      <c r="B6" s="0" t="s">
        <v>51</v>
      </c>
      <c r="D6" s="0" t="s">
        <v>41</v>
      </c>
      <c r="E6" s="0" t="n">
        <f aca="false">SUMIF(Base!D:D,"Pro",Base!G:G)</f>
        <v>339.8</v>
      </c>
    </row>
    <row r="7" customFormat="false" ht="15" hidden="false" customHeight="false" outlineLevel="0" collapsed="false">
      <c r="A7" s="0" t="s">
        <v>54</v>
      </c>
      <c r="B7" s="0" t="n">
        <f aca="false">SUMPRODUCT((TEXT(Base!B2:B21,"mm/yyyy")="01/2024")*Base!G2:G21)</f>
        <v>299.9</v>
      </c>
    </row>
    <row r="8" customFormat="false" ht="15" hidden="false" customHeight="false" outlineLevel="0" collapsed="false">
      <c r="A8" s="0" t="s">
        <v>55</v>
      </c>
      <c r="B8" s="0" t="n">
        <f aca="false">SUMPRODUCT((TEXT(Base!B2:B21,"mm/yyyy")="02/2024")*Base!G2:G21)</f>
        <v>599.9</v>
      </c>
    </row>
    <row r="9" customFormat="false" ht="15" hidden="false" customHeight="false" outlineLevel="0" collapsed="false">
      <c r="A9" s="0" t="s">
        <v>56</v>
      </c>
      <c r="B9" s="0" t="n">
        <f aca="false">SUMPRODUCT((TEXT(Base!B2:B21,"mm/yyyy")="03/2024")*Base!G2:G21)</f>
        <v>479.9</v>
      </c>
    </row>
    <row r="10" customFormat="false" ht="15" hidden="false" customHeight="false" outlineLevel="0" collapsed="false">
      <c r="A10" s="0" t="s">
        <v>57</v>
      </c>
      <c r="B10" s="0" t="n">
        <f aca="false">SUMPRODUCT((TEXT(Base!B2:B21,"mm/yyyy")="04/2024")*Base!G2:G21)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2026-05-26T17:08:56Z</dcterms:created>
  <dc:creator>openpyxl</dc:creator>
  <dc:description/>
  <dc:language>en-US</dc:language>
  <cp:lastModifiedBy/>
  <dcterms:modified xsi:type="dcterms:W3CDTF">2026-05-26T17:09:02Z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